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farmer/Downloads/"/>
    </mc:Choice>
  </mc:AlternateContent>
  <xr:revisionPtr revIDLastSave="0" documentId="8_{D8C26B39-3C65-EB49-A492-6E5A535BD390}" xr6:coauthVersionLast="47" xr6:coauthVersionMax="47" xr10:uidLastSave="{00000000-0000-0000-0000-000000000000}"/>
  <bookViews>
    <workbookView xWindow="-100" yWindow="760" windowWidth="23260" windowHeight="12460" activeTab="4" xr2:uid="{3FC64DD9-AD5C-403B-BF62-659545E63865}"/>
  </bookViews>
  <sheets>
    <sheet name="Active deferreds" sheetId="1" r:id="rId1"/>
    <sheet name="Deferreds" sheetId="2" r:id="rId2"/>
    <sheet name="Pensioners" sheetId="3" r:id="rId3"/>
    <sheet name="Widows" sheetId="4" r:id="rId4"/>
    <sheet name="Childr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<sst xmlns="http://schemas.openxmlformats.org/spreadsheetml/2006/main" count="403" uniqueCount="126">
  <si>
    <t>Valuation Record Type</t>
  </si>
  <si>
    <t>Member's Reference No</t>
  </si>
  <si>
    <t>Employer Code</t>
  </si>
  <si>
    <t>Benefits Scale Code</t>
  </si>
  <si>
    <t>Sex Code</t>
  </si>
  <si>
    <t>Date Of Birth</t>
  </si>
  <si>
    <t>Date Pensionable Service Commenced</t>
  </si>
  <si>
    <t>Date Became Active Deferred Member</t>
  </si>
  <si>
    <t>Code For Previous Status</t>
  </si>
  <si>
    <t>Normal Retirement Date</t>
  </si>
  <si>
    <t>Annual Pre-6.4.1988 GMP Component At Date Became Active Deferred Member</t>
  </si>
  <si>
    <t>Annual Post-5.4.1988 GMP Component At Date Became Active Deferred Member</t>
  </si>
  <si>
    <t>Total Deferred Pension Payable From Scheme At Date Became Active Deferred Member</t>
  </si>
  <si>
    <t>Total Contingent Widow(er) Pension Payable From Scheme At Date Became Active Deferred Member</t>
  </si>
  <si>
    <t>Excess Component Of Deferred Pension At Date Became Active
Deferred Member Subject To Statutory Revaluation In Deferment And CPI capped at 2.5% pa in payment</t>
  </si>
  <si>
    <t>Excess Component Of Deferred Pension At Date Became Active Deferred Member Subject To Both Statutory Revaluation In Deferment
And RPI capped at 5% pa in payment</t>
  </si>
  <si>
    <t>Member's Total Normal Contributions With Interest To The Date Of This Valuation</t>
  </si>
  <si>
    <t>Date Of Exit From Active Deferred Member Status</t>
  </si>
  <si>
    <t>Code For Exit From Active Deferred Member Status</t>
  </si>
  <si>
    <t>Contingent Widow(er)'s Pension Subject To RPI capped at 5% pa At Date Became Active Deferred Member</t>
  </si>
  <si>
    <t>Early Vesting Age</t>
  </si>
  <si>
    <t>Contingent Spouse's Benefit Marker</t>
  </si>
  <si>
    <t>Old Supplementary Fund Indicator</t>
  </si>
  <si>
    <t>Spouse's Date of Birth</t>
  </si>
  <si>
    <t>Married Indicator</t>
  </si>
  <si>
    <t>Old Supplementary Fund Pension</t>
  </si>
  <si>
    <t>New Pension Date</t>
  </si>
  <si>
    <t>Excess Component Of Deferred Pension At Date Became Active Deferred Member Subject To LPI5 Revaluation In Deferment And RPI capped at 2.5% pa in payment</t>
  </si>
  <si>
    <t>Excess Component Of Deferred Pension At Date Became Active
Deferred Member Subject To LPI2.5 Revaluation In Deferment And RPI capped at 2.5% pa in payment</t>
  </si>
  <si>
    <t>Contingent Widow(er)'s Pension Subject To RPI capped at 2.5% pa At Date Became Active Deferred Member</t>
  </si>
  <si>
    <t>Contingent Widow(er)'s Pension Subject To CPI capped at 2.5% pa At Date Became Active Deferred Member</t>
  </si>
  <si>
    <t>Postcode</t>
  </si>
  <si>
    <t>Date Of Buy-Out Of SBO Terms</t>
  </si>
  <si>
    <t>Deferred Pension For Service To Buy-Out at this valuation date</t>
  </si>
  <si>
    <t>Annual Post-5.4.1988 up to 31.5.1995 GMP Component At Date Of This Valuation</t>
  </si>
  <si>
    <t>Final salary: Final Pensionable Salary At Exit From Active Status</t>
  </si>
  <si>
    <t>AD</t>
  </si>
  <si>
    <t>XYZ</t>
  </si>
  <si>
    <t/>
  </si>
  <si>
    <t>M</t>
  </si>
  <si>
    <t>A</t>
  </si>
  <si>
    <t>1 Full half rate spouse's benefit (or 2/3 if XYZ member)</t>
  </si>
  <si>
    <t>N</t>
  </si>
  <si>
    <t>F</t>
  </si>
  <si>
    <t>3 Spouse's benefit accrued after harmonisation only</t>
  </si>
  <si>
    <t>Date Became Deferred Pensioner</t>
  </si>
  <si>
    <t>Annual Pre-6.4.1988 GMP Component At Date Became Deferred Pensioner</t>
  </si>
  <si>
    <t>Annual Post-5.4.1988 GMP Component At Date Became Deferred Pensioner</t>
  </si>
  <si>
    <t>Total Deferred Pension Payable From Scheme At Date Became Deferred Pensioner</t>
  </si>
  <si>
    <t>Total Contingent Widow(er) Pension Payable From Scheme At Date Became Deferred Pensioner</t>
  </si>
  <si>
    <t>Excess Component Of Deferred Pension At Date Became Deferred Pensioner Not Subject To Statutory Revaluation In Deferment</t>
  </si>
  <si>
    <t>Excess Component Of Deferred Pension At Date Became Deferred Pensioner Subject To Statutory Revaluation In Deferment And CPI capped at 2.5% pa in payment (or fixed 5% pa in deferment and in payment for former Section B)</t>
  </si>
  <si>
    <t>Excess Component Of Deferred Pension At Date Became Deferred Pensioner Subject To Both Statutory Revaluation In Deferment And RPI capped at 5% pa in payment (or fixed 5% in deferment and CPI capped at 5% pa in payment for Section B members)</t>
  </si>
  <si>
    <t>Date Of Exit From Deferred Pensioner Status</t>
  </si>
  <si>
    <t>Code For Exit From Deferred Pensioner Status</t>
  </si>
  <si>
    <t>VSS Current Pension Including GMP</t>
  </si>
  <si>
    <t>Contingent Widow(er)'s Pension Subject To RPI capped at 5% pa At Date Became Deferred Pensioner</t>
  </si>
  <si>
    <t>Excess Component Of Deferred Pension At Date Became Deferred Pensioner Subject To LPI5 Revaluation In Deferment And RPI capped at 2.5% pa in payment (or fixed 5% in deferment and CPI capped at 2.5% pa in payment for Section B members)</t>
  </si>
  <si>
    <t>Excess Component Of Deferred Pension At Date Became Deferred Pensioner Subject To LPI2.5 Revaluation In Deferment And RPI capped at 2.5% pa in payment</t>
  </si>
  <si>
    <t>Contingent Widow(er)'s Pension Subject To RPI capped at 2.5% pa At Date Became Deferred Pensioner</t>
  </si>
  <si>
    <t>Section B indicator</t>
  </si>
  <si>
    <t>TV-in fixed Paid Up Pension at Normal Retirement Date</t>
  </si>
  <si>
    <t>Contingent Widow(er)'s Pension Subject To CPI capped at 2.5% pa
At Date Became Deferred Pensioner (or fixed 5% pa for former Section B members)</t>
  </si>
  <si>
    <t>Salary at date of leaving pensionable service</t>
  </si>
  <si>
    <t>Section B Pre 21 July 1997 (Post 97 fixed 5% pa in deferment and payment pension)</t>
  </si>
  <si>
    <t>D</t>
  </si>
  <si>
    <t>Y</t>
  </si>
  <si>
    <t>Date Became Pensioner</t>
  </si>
  <si>
    <t>Type Of Retirement</t>
  </si>
  <si>
    <t>Date Of Exit From Active Service</t>
  </si>
  <si>
    <t>Annual Pre-6.4.1988 GMP Component At Date Of Exit From Active Service</t>
  </si>
  <si>
    <t>Annual Post-5.4.1988 GMP Component At Date Of Exit From Active Service</t>
  </si>
  <si>
    <t>Annual Pre-6.4.1988 GMP Component At Date Of This Valuation</t>
  </si>
  <si>
    <t>Annual Post-5.4.1988 GMP Component At Date Of This Valuation</t>
  </si>
  <si>
    <t>Total Pension Payable From Scheme At Last Valuation</t>
  </si>
  <si>
    <t>Total Pension Payable From Scheme At This Valuation</t>
  </si>
  <si>
    <t>Component Of Pension At This Valuation Subject To RPI capped at 5% pa (or CPI capped at 5% pa for Section B members)</t>
  </si>
  <si>
    <t>Contingent Widow(er)'s Sex Code</t>
  </si>
  <si>
    <t>Contingent Widow(er)'s Date Of Birth</t>
  </si>
  <si>
    <t>Contingent Widow(er)'s Pension At This Valuation</t>
  </si>
  <si>
    <t>Component Of Contingent Widow(er)'s Pension At This Valuation Subject To RPI capped at 5% pa (or CPI capped at 5% pa for Section B members)</t>
  </si>
  <si>
    <t>Date Of Exit From Pensioner Status</t>
  </si>
  <si>
    <t>Code For Exit From Pensioner Status</t>
  </si>
  <si>
    <t>Component Of Pension At This Valuation Subject To RPI capped at 2.5% pa</t>
  </si>
  <si>
    <t>Component Of Contingent Widow(er)'s Pension At This Valuation Subject To RPI capped at 2.5% pa</t>
  </si>
  <si>
    <t>Non-increasing pension</t>
  </si>
  <si>
    <t>Non-increasing TV-in pension</t>
  </si>
  <si>
    <t>Component Of Pension At This Valuation Subject To CPI capped at 2.5% pa (or fixed 5% pa for former
Section B members)</t>
  </si>
  <si>
    <t>Component Of Contingent Widow(er)'s Pension At This Valuation Subject To CPI capped at 2.5% pa (or fixed 5% pa for former Section B members)</t>
  </si>
  <si>
    <t>Total Pension Payable From Scheme At Retirement Before Reduction for Tax Free Cash</t>
  </si>
  <si>
    <t>Tax Free Cash taken at Retirement</t>
  </si>
  <si>
    <t>Pension Commuted At Retirement in Exchange for Tax Free Cash</t>
  </si>
  <si>
    <t>Total Pension Payable From Scheme At Retirement After Reduction for Tax Free Cash</t>
  </si>
  <si>
    <t>Status</t>
  </si>
  <si>
    <t>Section B Indicator</t>
  </si>
  <si>
    <t>PN</t>
  </si>
  <si>
    <t>Widow(er)'s Reference No</t>
  </si>
  <si>
    <t>Deceased Member's Reference No</t>
  </si>
  <si>
    <t>Beneficiary's Code</t>
  </si>
  <si>
    <t>Widow(er)'s Date Of Birth</t>
  </si>
  <si>
    <t>Date Became Widow(er) Beneficiary</t>
  </si>
  <si>
    <t>Code For Previous Status Of Deceased Member</t>
  </si>
  <si>
    <t>Date Deceased Member Became Pensioner</t>
  </si>
  <si>
    <t>Widow(er)'s Annual Pre-6.4.1988 GMP Component At Date Of This Valuation</t>
  </si>
  <si>
    <t>Widow(er)'s Annual Post-5.4.1988 GMP Component At Date Of This Valuation</t>
  </si>
  <si>
    <t>Total Widow(er)'s Pension Payable From Scheme At This Valuation</t>
  </si>
  <si>
    <t>Total Widow(er)'s Pension Payable From Scheme At Last Valuation</t>
  </si>
  <si>
    <t>Component Of Widow(er)'s Pension At This Valuation Subject To RPI capped at 5% pa</t>
  </si>
  <si>
    <t>Date Of Exit From Widow(er) Beneficiary Status</t>
  </si>
  <si>
    <t>Code For Exit From Widow(er) Beneficiary Status</t>
  </si>
  <si>
    <t>Widow's Allotment At Valuation Date Included In Pension</t>
  </si>
  <si>
    <t>Component Of Widow(er)'s Pension At This Valuation Subject To RPI capped at 2.5% pa</t>
  </si>
  <si>
    <t>Component Of Widow(er)'s Pension At This Valuation Subject To CPI capped at 2.5% pa</t>
  </si>
  <si>
    <t>W</t>
  </si>
  <si>
    <t>Child's Reference No</t>
  </si>
  <si>
    <t>Deceased members reference no</t>
  </si>
  <si>
    <t>Child's Date of Birth</t>
  </si>
  <si>
    <t>Date Child'sPension Commenced</t>
  </si>
  <si>
    <t>Child's Pension Payable From Scheme At This Valuation</t>
  </si>
  <si>
    <t>Component Of Child's Pension At This Valuation Subject To RPI capped at 5% pa</t>
  </si>
  <si>
    <t>Date Child's Pension Is To Cease Or Has Ceased</t>
  </si>
  <si>
    <t>Component Of Child's Pension At This Valuation Subject To RPI capped at 2_5% pa</t>
  </si>
  <si>
    <t>Component of Child’s Pension At This Valuation Subject to CPI capped at 2_5% pa</t>
  </si>
  <si>
    <t xml:space="preserve">C </t>
  </si>
  <si>
    <t xml:space="preserve">P 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</si>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</sst>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6EFCE"/>
        <bgColor rgb="FFFFFFFF"/>
      </patternFill>
    </fill>
    <fill>
      <patternFill patternType="solid">
        <fgColor rgb="FFD9D9D9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3" borderId="0" applyNumberFormat="0" applyBorder="0" applyAlignment="0" applyProtection="0"/>
    <xf numFmtId="0" fontId="3" fillId="0" borderId="0"/>
    <xf numFmtId="0" fontId="1" fillId="0" borderId="0"/>
    <xf numFmtId="0" fontId="3" fillId="0" borderId="0"/>
  </cellStyleXfs>
  <cellXfs count="50">
    <xf numFmtId="0" fontId="0" fillId="0" borderId="0" xfId="0"/>
    <xf numFmtId="0" fontId="4" fillId="2" borderId="1" xfId="1" applyFont="1" applyFill="1" applyBorder="1" applyAlignment="1">
      <alignment horizontal="center" wrapText="1"/>
    </xf>
    <xf numFmtId="2" fontId="4" fillId="2" borderId="1" xfId="1" applyNumberFormat="1" applyFont="1" applyFill="1" applyBorder="1" applyAlignment="1">
      <alignment horizontal="center" wrapText="1"/>
    </xf>
    <xf numFmtId="0" fontId="5" fillId="0" borderId="0" xfId="0" applyFont="1"/>
    <xf numFmtId="0" fontId="4" fillId="0" borderId="2" xfId="2" applyFont="1" applyBorder="1"/>
    <xf numFmtId="164" fontId="4" fillId="0" borderId="2" xfId="2" applyNumberFormat="1" applyFont="1" applyBorder="1" applyAlignment="1">
      <alignment horizontal="right"/>
    </xf>
    <xf numFmtId="2" fontId="4" fillId="0" borderId="2" xfId="2" applyNumberFormat="1" applyFont="1" applyBorder="1" applyAlignment="1">
      <alignment horizontal="right"/>
    </xf>
    <xf numFmtId="2" fontId="4" fillId="0" borderId="2" xfId="2" applyNumberFormat="1" applyFont="1" applyBorder="1"/>
    <xf numFmtId="164" fontId="3" fillId="0" borderId="0" xfId="2" applyNumberFormat="1"/>
    <xf numFmtId="0" fontId="3" fillId="0" borderId="0" xfId="2"/>
    <xf numFmtId="2" fontId="4" fillId="2" borderId="1" xfId="3" applyNumberFormat="1" applyFont="1" applyFill="1" applyBorder="1" applyAlignment="1">
      <alignment horizontal="center" wrapText="1"/>
    </xf>
    <xf numFmtId="0" fontId="4" fillId="0" borderId="2" xfId="4" applyFont="1" applyBorder="1"/>
    <xf numFmtId="0" fontId="4" fillId="0" borderId="2" xfId="4" applyFont="1" applyBorder="1" applyAlignment="1">
      <alignment horizontal="right"/>
    </xf>
    <xf numFmtId="164" fontId="4" fillId="0" borderId="2" xfId="4" applyNumberFormat="1" applyFont="1" applyBorder="1" applyAlignment="1">
      <alignment horizontal="right"/>
    </xf>
    <xf numFmtId="2" fontId="4" fillId="0" borderId="2" xfId="4" applyNumberFormat="1" applyFont="1" applyBorder="1" applyAlignment="1">
      <alignment horizontal="right"/>
    </xf>
    <xf numFmtId="2" fontId="4" fillId="0" borderId="0" xfId="4" applyNumberFormat="1" applyFont="1"/>
    <xf numFmtId="2" fontId="4" fillId="0" borderId="2" xfId="4" applyNumberFormat="1" applyFont="1" applyBorder="1"/>
    <xf numFmtId="2" fontId="3" fillId="0" borderId="2" xfId="4" applyNumberFormat="1" applyBorder="1"/>
    <xf numFmtId="164" fontId="3" fillId="0" borderId="0" xfId="4" applyNumberFormat="1"/>
    <xf numFmtId="164" fontId="4" fillId="0" borderId="0" xfId="4" applyNumberFormat="1" applyFont="1" applyAlignment="1">
      <alignment horizontal="center"/>
    </xf>
    <xf numFmtId="2" fontId="3" fillId="0" borderId="0" xfId="4" applyNumberFormat="1"/>
    <xf numFmtId="2" fontId="4" fillId="0" borderId="0" xfId="5" applyNumberFormat="1" applyFont="1"/>
    <xf numFmtId="0" fontId="6" fillId="4" borderId="3" xfId="6" applyFont="1" applyFill="1" applyBorder="1" applyAlignment="1">
      <alignment horizontal="left" wrapText="1"/>
    </xf>
    <xf numFmtId="164" fontId="6" fillId="4" borderId="3" xfId="6" applyNumberFormat="1" applyFont="1" applyFill="1" applyBorder="1" applyAlignment="1">
      <alignment horizontal="left" wrapText="1"/>
    </xf>
    <xf numFmtId="164" fontId="6" fillId="4" borderId="3" xfId="5" applyNumberFormat="1" applyFont="1" applyFill="1" applyBorder="1" applyAlignment="1">
      <alignment horizontal="left" wrapText="1"/>
    </xf>
    <xf numFmtId="0" fontId="6" fillId="4" borderId="3" xfId="5" applyFont="1" applyFill="1" applyBorder="1" applyAlignment="1">
      <alignment horizontal="left" wrapText="1"/>
    </xf>
    <xf numFmtId="2" fontId="6" fillId="4" borderId="3" xfId="6" applyNumberFormat="1" applyFont="1" applyFill="1" applyBorder="1" applyAlignment="1">
      <alignment horizontal="left" wrapText="1"/>
    </xf>
    <xf numFmtId="4" fontId="6" fillId="4" borderId="3" xfId="6" applyNumberFormat="1" applyFont="1" applyFill="1" applyBorder="1" applyAlignment="1">
      <alignment horizontal="left" wrapText="1"/>
    </xf>
    <xf numFmtId="4" fontId="6" fillId="4" borderId="3" xfId="5" applyNumberFormat="1" applyFont="1" applyFill="1" applyBorder="1" applyAlignment="1">
      <alignment horizontal="left" wrapText="1"/>
    </xf>
    <xf numFmtId="2" fontId="6" fillId="4" borderId="3" xfId="5" applyNumberFormat="1" applyFont="1" applyFill="1" applyBorder="1" applyAlignment="1">
      <alignment horizontal="left" wrapText="1"/>
    </xf>
    <xf numFmtId="0" fontId="4" fillId="0" borderId="2" xfId="7" applyFont="1" applyBorder="1" applyAlignment="1">
      <alignment horizontal="right" wrapText="1"/>
    </xf>
    <xf numFmtId="0" fontId="4" fillId="0" borderId="2" xfId="7" applyFont="1" applyBorder="1" applyAlignment="1">
      <alignment wrapText="1"/>
    </xf>
    <xf numFmtId="164" fontId="4" fillId="0" borderId="2" xfId="7" applyNumberFormat="1" applyFont="1" applyBorder="1" applyAlignment="1">
      <alignment horizontal="right" wrapText="1"/>
    </xf>
    <xf numFmtId="2" fontId="4" fillId="0" borderId="2" xfId="7" applyNumberFormat="1" applyFont="1" applyBorder="1" applyAlignment="1">
      <alignment horizontal="right" wrapText="1"/>
    </xf>
    <xf numFmtId="2" fontId="4" fillId="0" borderId="0" xfId="7" applyNumberFormat="1" applyFont="1"/>
    <xf numFmtId="2" fontId="4" fillId="0" borderId="2" xfId="7" applyNumberFormat="1" applyFont="1" applyBorder="1" applyAlignment="1">
      <alignment wrapText="1"/>
    </xf>
    <xf numFmtId="0" fontId="4" fillId="0" borderId="2" xfId="7" applyFont="1" applyBorder="1" applyAlignment="1">
      <alignment horizontal="center" wrapText="1"/>
    </xf>
    <xf numFmtId="0" fontId="4" fillId="0" borderId="0" xfId="7" applyFont="1"/>
    <xf numFmtId="0" fontId="4" fillId="0" borderId="0" xfId="8" applyFont="1"/>
    <xf numFmtId="2" fontId="4" fillId="0" borderId="0" xfId="8" applyNumberFormat="1" applyFont="1"/>
    <xf numFmtId="0" fontId="4" fillId="2" borderId="1" xfId="9" applyFont="1" applyFill="1" applyBorder="1" applyAlignment="1">
      <alignment horizontal="center" wrapText="1"/>
    </xf>
    <xf numFmtId="0" fontId="4" fillId="0" borderId="0" xfId="5" applyFont="1" applyAlignment="1">
      <alignment horizontal="center"/>
    </xf>
    <xf numFmtId="0" fontId="4" fillId="0" borderId="2" xfId="9" applyFont="1" applyBorder="1" applyAlignment="1">
      <alignment horizontal="right"/>
    </xf>
    <xf numFmtId="0" fontId="4" fillId="0" borderId="2" xfId="9" applyFont="1" applyBorder="1"/>
    <xf numFmtId="164" fontId="4" fillId="0" borderId="2" xfId="9" applyNumberFormat="1" applyFont="1" applyBorder="1" applyAlignment="1">
      <alignment horizontal="right"/>
    </xf>
    <xf numFmtId="0" fontId="4" fillId="0" borderId="0" xfId="9" applyFont="1"/>
    <xf numFmtId="164" fontId="4" fillId="2" borderId="1" xfId="9" applyNumberFormat="1" applyFont="1" applyFill="1" applyBorder="1" applyAlignment="1">
      <alignment horizontal="center" wrapText="1"/>
    </xf>
    <xf numFmtId="2" fontId="4" fillId="2" borderId="1" xfId="9" applyNumberFormat="1" applyFont="1" applyFill="1" applyBorder="1" applyAlignment="1">
      <alignment horizontal="center" wrapText="1"/>
    </xf>
    <xf numFmtId="2" fontId="4" fillId="0" borderId="2" xfId="9" applyNumberFormat="1" applyFont="1" applyBorder="1" applyAlignment="1">
      <alignment horizontal="right"/>
    </xf>
    <xf numFmtId="2" fontId="4" fillId="0" borderId="2" xfId="9" applyNumberFormat="1" applyFont="1" applyBorder="1"/>
  </cellXfs>
  <cellStyles count="10">
    <cellStyle name="Good 2" xfId="6" xr:uid="{38D62820-BC63-481A-BB8F-7BCC514FFAE1}"/>
    <cellStyle name="Normal" xfId="0" builtinId="0"/>
    <cellStyle name="Normal 2" xfId="5" xr:uid="{15946274-C0DA-47FB-B2F4-4F7964D3E22A}"/>
    <cellStyle name="Normal 3" xfId="8" xr:uid="{E428CA03-94C6-4E56-B415-48CB361988FE}"/>
    <cellStyle name="Normal_Active Deferred" xfId="1" xr:uid="{FC942306-4A96-4027-8B81-ABF4EA439762}"/>
    <cellStyle name="Normal_Active Deferred_1" xfId="2" xr:uid="{254490FF-9C34-4557-A98F-209CF4930446}"/>
    <cellStyle name="Normal_Deferred" xfId="4" xr:uid="{70FE3A84-B8D0-4ED1-94B5-1BE1E26E01F2}"/>
    <cellStyle name="Normal_Pensioner_1" xfId="7" xr:uid="{6CEFC5CE-0597-4466-8E9F-7F440195D7BC}"/>
    <cellStyle name="Normal_Sheet1" xfId="3" xr:uid="{A826FDB1-DA17-4471-9D5A-26B1AAB71911}"/>
    <cellStyle name="Normal_Sheet2" xfId="9" xr:uid="{CFD2D201-1B6E-4F07-A2B2-A7E3155EB678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1EDB-FD0B-4B7C-801F-45D26A935CCB}">
  <dimension ref="A1:AJ5"/>
  <sheetViews>
    <sheetView workbookViewId="0">
      <selection activeCell="A6" sqref="A6:XFD560"/>
    </sheetView>
  </sheetViews>
  <sheetFormatPr baseColWidth="10" defaultColWidth="8.83203125" defaultRowHeight="13" x14ac:dyDescent="0.15"/>
  <cols>
    <col min="1" max="1" width="19.5" style="3" bestFit="1" customWidth="1"/>
    <col min="2" max="2" width="16.83203125" style="3" bestFit="1" customWidth="1"/>
    <col min="3" max="3" width="14.83203125" style="3" bestFit="1" customWidth="1"/>
    <col min="4" max="4" width="13.83203125" style="3" bestFit="1" customWidth="1"/>
    <col min="5" max="5" width="12.83203125" style="3" bestFit="1" customWidth="1"/>
    <col min="6" max="6" width="13.83203125" style="3" bestFit="1" customWidth="1"/>
    <col min="7" max="7" width="19.83203125" style="3" bestFit="1" customWidth="1"/>
    <col min="8" max="8" width="19.5" style="3" bestFit="1" customWidth="1"/>
    <col min="9" max="9" width="14.1640625" style="3" bestFit="1" customWidth="1"/>
    <col min="10" max="10" width="19" style="3" bestFit="1" customWidth="1"/>
    <col min="11" max="11" width="22.1640625" style="3" bestFit="1" customWidth="1"/>
    <col min="12" max="12" width="21.83203125" style="3" bestFit="1" customWidth="1"/>
    <col min="13" max="13" width="22.5" style="3" bestFit="1" customWidth="1"/>
    <col min="14" max="14" width="27.83203125" style="3" bestFit="1" customWidth="1"/>
    <col min="15" max="15" width="37" style="3" bestFit="1" customWidth="1"/>
    <col min="16" max="16" width="41.1640625" style="3" bestFit="1" customWidth="1"/>
    <col min="17" max="17" width="27.1640625" style="3" bestFit="1" customWidth="1"/>
    <col min="18" max="18" width="21.1640625" style="3" bestFit="1" customWidth="1"/>
    <col min="19" max="19" width="23.83203125" style="3" bestFit="1" customWidth="1"/>
    <col min="20" max="20" width="30.1640625" style="3" bestFit="1" customWidth="1"/>
    <col min="21" max="21" width="15.83203125" style="3" bestFit="1" customWidth="1"/>
    <col min="22" max="22" width="55" style="3" bestFit="1" customWidth="1"/>
    <col min="23" max="23" width="20.1640625" style="3" bestFit="1" customWidth="1"/>
    <col min="24" max="24" width="15.1640625" style="3" bestFit="1" customWidth="1"/>
    <col min="25" max="25" width="14.1640625" style="3" bestFit="1" customWidth="1"/>
    <col min="26" max="26" width="20.1640625" style="3" bestFit="1" customWidth="1"/>
    <col min="27" max="27" width="14.5" style="3" bestFit="1" customWidth="1"/>
    <col min="28" max="28" width="36.1640625" style="3" bestFit="1" customWidth="1"/>
    <col min="29" max="29" width="40.1640625" style="3" bestFit="1" customWidth="1"/>
    <col min="30" max="31" width="31.83203125" style="3" bestFit="1" customWidth="1"/>
    <col min="32" max="32" width="14" style="3" bestFit="1" customWidth="1"/>
    <col min="33" max="33" width="14.5" style="3" bestFit="1" customWidth="1"/>
    <col min="34" max="34" width="23.83203125" style="3" bestFit="1" customWidth="1"/>
    <col min="35" max="35" width="28" style="3" bestFit="1" customWidth="1"/>
    <col min="36" max="36" width="24.1640625" style="3" bestFit="1" customWidth="1"/>
    <col min="37" max="16384" width="8.83203125" style="3"/>
  </cols>
  <sheetData>
    <row r="1" spans="1:36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</row>
    <row r="2" spans="1:36" ht="15" x14ac:dyDescent="0.2">
      <c r="A2" s="4" t="s">
        <v>36</v>
      </c>
      <c r="B2" s="4">
        <v>134226</v>
      </c>
      <c r="C2" s="4" t="s">
        <v>37</v>
      </c>
      <c r="D2" s="4" t="s">
        <v>38</v>
      </c>
      <c r="E2" s="4" t="s">
        <v>39</v>
      </c>
      <c r="F2" s="5">
        <v>23538</v>
      </c>
      <c r="G2" s="5">
        <v>30684</v>
      </c>
      <c r="H2" s="5">
        <v>43373</v>
      </c>
      <c r="I2" s="4" t="s">
        <v>40</v>
      </c>
      <c r="J2" s="5">
        <v>45453</v>
      </c>
      <c r="K2" s="6">
        <v>435.76</v>
      </c>
      <c r="L2" s="6">
        <v>1357.2</v>
      </c>
      <c r="M2" s="6">
        <v>41547.81</v>
      </c>
      <c r="N2" s="6">
        <v>20773.900000000001</v>
      </c>
      <c r="O2" s="6">
        <v>14059.53</v>
      </c>
      <c r="P2" s="6">
        <v>12856.81</v>
      </c>
      <c r="Q2" s="4" t="s">
        <v>38</v>
      </c>
      <c r="R2" s="4" t="s">
        <v>38</v>
      </c>
      <c r="S2" s="4" t="s">
        <v>38</v>
      </c>
      <c r="T2" s="7">
        <v>6428.4</v>
      </c>
      <c r="U2" s="4" t="s">
        <v>38</v>
      </c>
      <c r="V2" s="4" t="s">
        <v>41</v>
      </c>
      <c r="W2" s="4" t="s">
        <v>42</v>
      </c>
      <c r="X2" s="4" t="s">
        <v>38</v>
      </c>
      <c r="Y2" s="4" t="s">
        <v>38</v>
      </c>
      <c r="Z2" s="4" t="s">
        <v>38</v>
      </c>
      <c r="AA2" s="5">
        <v>45998</v>
      </c>
      <c r="AB2" s="6">
        <v>1502.59</v>
      </c>
      <c r="AC2" s="6">
        <v>11335.92</v>
      </c>
      <c r="AD2" s="6">
        <v>6419.26</v>
      </c>
      <c r="AE2" s="6">
        <v>7029.76</v>
      </c>
      <c r="AF2" s="6"/>
      <c r="AG2" s="8" t="s">
        <v>38</v>
      </c>
      <c r="AH2" s="9" t="s">
        <v>38</v>
      </c>
      <c r="AI2" s="4" t="s">
        <v>38</v>
      </c>
      <c r="AJ2" s="6">
        <v>71784.850000000006</v>
      </c>
    </row>
    <row r="3" spans="1:36" ht="15" x14ac:dyDescent="0.2">
      <c r="A3" s="4" t="s">
        <v>36</v>
      </c>
      <c r="B3" s="4">
        <v>134227</v>
      </c>
      <c r="C3" s="4" t="s">
        <v>37</v>
      </c>
      <c r="D3" s="4" t="s">
        <v>38</v>
      </c>
      <c r="E3" s="4" t="s">
        <v>39</v>
      </c>
      <c r="F3" s="5">
        <v>21684</v>
      </c>
      <c r="G3" s="5">
        <v>31503</v>
      </c>
      <c r="H3" s="5">
        <v>43373</v>
      </c>
      <c r="I3" s="4" t="s">
        <v>40</v>
      </c>
      <c r="J3" s="5">
        <v>43599</v>
      </c>
      <c r="K3" s="6">
        <v>473.72</v>
      </c>
      <c r="L3" s="6">
        <v>1670.24</v>
      </c>
      <c r="M3" s="6">
        <v>33863.94</v>
      </c>
      <c r="N3" s="6">
        <v>16931.97</v>
      </c>
      <c r="O3" s="6">
        <v>9327.75</v>
      </c>
      <c r="P3" s="6">
        <v>11040.45</v>
      </c>
      <c r="Q3" s="4" t="s">
        <v>38</v>
      </c>
      <c r="R3" s="4" t="s">
        <v>38</v>
      </c>
      <c r="S3" s="4" t="s">
        <v>38</v>
      </c>
      <c r="T3" s="7">
        <v>5520.22</v>
      </c>
      <c r="U3" s="4" t="s">
        <v>38</v>
      </c>
      <c r="V3" s="4" t="s">
        <v>41</v>
      </c>
      <c r="W3" s="4" t="s">
        <v>42</v>
      </c>
      <c r="X3" s="4" t="s">
        <v>38</v>
      </c>
      <c r="Y3" s="4" t="s">
        <v>38</v>
      </c>
      <c r="Z3" s="4" t="s">
        <v>38</v>
      </c>
      <c r="AA3" s="5">
        <v>44146</v>
      </c>
      <c r="AB3" s="6">
        <v>1414.53</v>
      </c>
      <c r="AC3" s="6">
        <v>9937.25</v>
      </c>
      <c r="AD3" s="6">
        <v>5675.89</v>
      </c>
      <c r="AE3" s="6">
        <v>4663.87</v>
      </c>
      <c r="AF3" s="6"/>
      <c r="AG3" s="8" t="s">
        <v>38</v>
      </c>
      <c r="AH3" s="9" t="s">
        <v>38</v>
      </c>
      <c r="AI3" s="4" t="s">
        <v>38</v>
      </c>
      <c r="AJ3" s="6">
        <v>62102.51</v>
      </c>
    </row>
    <row r="4" spans="1:36" ht="15" x14ac:dyDescent="0.2">
      <c r="A4" s="4" t="s">
        <v>36</v>
      </c>
      <c r="B4" s="4">
        <v>134228</v>
      </c>
      <c r="C4" s="4" t="s">
        <v>37</v>
      </c>
      <c r="D4" s="4" t="s">
        <v>38</v>
      </c>
      <c r="E4" s="4" t="s">
        <v>39</v>
      </c>
      <c r="F4" s="5">
        <v>22671</v>
      </c>
      <c r="G4" s="5">
        <v>32797</v>
      </c>
      <c r="H4" s="5">
        <v>43373</v>
      </c>
      <c r="I4" s="4" t="s">
        <v>40</v>
      </c>
      <c r="J4" s="5">
        <v>44586</v>
      </c>
      <c r="K4" s="6">
        <v>1201.72</v>
      </c>
      <c r="L4" s="6">
        <v>907.4</v>
      </c>
      <c r="M4" s="6">
        <v>20946.169999999998</v>
      </c>
      <c r="N4" s="6">
        <v>10473.08</v>
      </c>
      <c r="O4" s="6">
        <v>5298.19</v>
      </c>
      <c r="P4" s="6">
        <v>6422.83</v>
      </c>
      <c r="Q4" s="4" t="s">
        <v>38</v>
      </c>
      <c r="R4" s="4" t="s">
        <v>38</v>
      </c>
      <c r="S4" s="4" t="s">
        <v>38</v>
      </c>
      <c r="T4" s="7">
        <v>3211.41</v>
      </c>
      <c r="U4" s="4" t="s">
        <v>38</v>
      </c>
      <c r="V4" s="4" t="s">
        <v>41</v>
      </c>
      <c r="W4" s="4" t="s">
        <v>42</v>
      </c>
      <c r="X4" s="4" t="s">
        <v>38</v>
      </c>
      <c r="Y4" s="4" t="s">
        <v>38</v>
      </c>
      <c r="Z4" s="4" t="s">
        <v>38</v>
      </c>
      <c r="AA4" s="5">
        <v>45129</v>
      </c>
      <c r="AB4" s="6">
        <v>898.32</v>
      </c>
      <c r="AC4" s="6">
        <v>6217.71</v>
      </c>
      <c r="AD4" s="6">
        <v>3558.02</v>
      </c>
      <c r="AE4" s="6">
        <v>2649.09</v>
      </c>
      <c r="AF4" s="6"/>
      <c r="AG4" s="8" t="s">
        <v>38</v>
      </c>
      <c r="AH4" s="9" t="s">
        <v>38</v>
      </c>
      <c r="AI4" s="4" t="s">
        <v>38</v>
      </c>
      <c r="AJ4" s="6">
        <v>38368.81</v>
      </c>
    </row>
    <row r="5" spans="1:36" ht="15" x14ac:dyDescent="0.2">
      <c r="A5" s="4" t="s">
        <v>36</v>
      </c>
      <c r="B5" s="4">
        <v>134248</v>
      </c>
      <c r="C5" s="4" t="s">
        <v>37</v>
      </c>
      <c r="D5" s="4" t="s">
        <v>38</v>
      </c>
      <c r="E5" s="4" t="s">
        <v>43</v>
      </c>
      <c r="F5" s="5">
        <v>24045</v>
      </c>
      <c r="G5" s="5">
        <v>31614</v>
      </c>
      <c r="H5" s="5">
        <v>43373</v>
      </c>
      <c r="I5" s="4" t="s">
        <v>40</v>
      </c>
      <c r="J5" s="5">
        <v>45960</v>
      </c>
      <c r="K5" s="6">
        <v>177.84</v>
      </c>
      <c r="L5" s="6">
        <v>1403.48</v>
      </c>
      <c r="M5" s="6">
        <v>22457.55</v>
      </c>
      <c r="N5" s="6">
        <v>11228.77</v>
      </c>
      <c r="O5" s="6">
        <v>6440.57</v>
      </c>
      <c r="P5" s="6">
        <v>7733.45</v>
      </c>
      <c r="Q5" s="4" t="s">
        <v>38</v>
      </c>
      <c r="R5" s="4" t="s">
        <v>38</v>
      </c>
      <c r="S5" s="4" t="s">
        <v>38</v>
      </c>
      <c r="T5" s="7">
        <v>3866.72</v>
      </c>
      <c r="U5" s="4" t="s">
        <v>38</v>
      </c>
      <c r="V5" s="4" t="s">
        <v>44</v>
      </c>
      <c r="W5" s="4" t="s">
        <v>42</v>
      </c>
      <c r="X5" s="4" t="s">
        <v>38</v>
      </c>
      <c r="Y5" s="4" t="s">
        <v>38</v>
      </c>
      <c r="Z5" s="4" t="s">
        <v>38</v>
      </c>
      <c r="AA5" s="5">
        <v>46504</v>
      </c>
      <c r="AB5" s="6">
        <v>910.64</v>
      </c>
      <c r="AC5" s="6">
        <v>5791.57</v>
      </c>
      <c r="AD5" s="6">
        <v>3351.11</v>
      </c>
      <c r="AE5" s="6">
        <v>3220.28</v>
      </c>
      <c r="AF5" s="6"/>
      <c r="AG5" s="8" t="s">
        <v>38</v>
      </c>
      <c r="AH5" s="9" t="s">
        <v>38</v>
      </c>
      <c r="AI5" s="4" t="s">
        <v>38</v>
      </c>
      <c r="AJ5" s="6">
        <v>44773.34</v>
      </c>
    </row>
  </sheetData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C299-6686-4B34-B580-CFFB4CCBB5CA}">
  <dimension ref="A1:AL4"/>
  <sheetViews>
    <sheetView workbookViewId="0">
      <selection activeCell="A5" sqref="A5:XFD1416"/>
    </sheetView>
  </sheetViews>
  <sheetFormatPr baseColWidth="10" defaultColWidth="8.83203125" defaultRowHeight="13" x14ac:dyDescent="0.15"/>
  <cols>
    <col min="1" max="1" width="16.1640625" style="3" bestFit="1" customWidth="1"/>
    <col min="2" max="2" width="16.83203125" style="3" bestFit="1" customWidth="1"/>
    <col min="3" max="3" width="13.83203125" style="3" bestFit="1" customWidth="1"/>
    <col min="4" max="4" width="14.83203125" style="3" bestFit="1" customWidth="1"/>
    <col min="5" max="5" width="12.83203125" style="3" bestFit="1" customWidth="1"/>
    <col min="6" max="6" width="13.83203125" style="3" bestFit="1" customWidth="1"/>
    <col min="7" max="7" width="18.83203125" style="3" bestFit="1" customWidth="1"/>
    <col min="8" max="8" width="16.1640625" style="3" bestFit="1" customWidth="1"/>
    <col min="9" max="9" width="14.83203125" style="3" bestFit="1" customWidth="1"/>
    <col min="10" max="10" width="17.1640625" style="3" bestFit="1" customWidth="1"/>
    <col min="11" max="11" width="22.1640625" style="3" bestFit="1" customWidth="1"/>
    <col min="12" max="12" width="21.83203125" style="3" bestFit="1" customWidth="1"/>
    <col min="13" max="13" width="22.5" style="3" bestFit="1" customWidth="1"/>
    <col min="14" max="14" width="25.1640625" style="3" bestFit="1" customWidth="1"/>
    <col min="15" max="15" width="30.5" style="3" bestFit="1" customWidth="1"/>
    <col min="16" max="16" width="53.1640625" style="3" customWidth="1"/>
    <col min="17" max="17" width="49.83203125" style="3" customWidth="1"/>
    <col min="18" max="18" width="22.5" style="3" bestFit="1" customWidth="1"/>
    <col min="19" max="19" width="23" style="3" bestFit="1" customWidth="1"/>
    <col min="20" max="20" width="15.1640625" style="3" bestFit="1" customWidth="1"/>
    <col min="21" max="21" width="14.5" style="3" bestFit="1" customWidth="1"/>
    <col min="22" max="22" width="25.5" style="3" bestFit="1" customWidth="1"/>
    <col min="23" max="23" width="13.83203125" style="3" bestFit="1" customWidth="1"/>
    <col min="24" max="24" width="55" style="3" bestFit="1" customWidth="1"/>
    <col min="25" max="25" width="19.5" style="3" bestFit="1" customWidth="1"/>
    <col min="26" max="26" width="15.1640625" style="3" bestFit="1" customWidth="1"/>
    <col min="27" max="27" width="14.1640625" style="3" bestFit="1" customWidth="1"/>
    <col min="28" max="28" width="21.1640625" style="3" bestFit="1" customWidth="1"/>
    <col min="29" max="29" width="14.5" style="3" bestFit="1" customWidth="1"/>
    <col min="30" max="30" width="48.83203125" style="3" customWidth="1"/>
    <col min="31" max="31" width="34.83203125" style="3" bestFit="1" customWidth="1"/>
    <col min="32" max="32" width="26.83203125" style="3" bestFit="1" customWidth="1"/>
    <col min="33" max="33" width="13.83203125" style="3" bestFit="1" customWidth="1"/>
    <col min="34" max="34" width="18.1640625" style="3" bestFit="1" customWidth="1"/>
    <col min="35" max="35" width="31.1640625" style="3" bestFit="1" customWidth="1"/>
    <col min="36" max="36" width="14" style="3" bestFit="1" customWidth="1"/>
    <col min="37" max="37" width="16.83203125" style="3" bestFit="1" customWidth="1"/>
    <col min="38" max="38" width="26" style="3" customWidth="1"/>
    <col min="39" max="16384" width="8.83203125" style="3"/>
  </cols>
  <sheetData>
    <row r="1" spans="1:38" ht="80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45</v>
      </c>
      <c r="I1" s="10" t="s">
        <v>8</v>
      </c>
      <c r="J1" s="10" t="s">
        <v>9</v>
      </c>
      <c r="K1" s="10" t="s">
        <v>46</v>
      </c>
      <c r="L1" s="10" t="s">
        <v>47</v>
      </c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16</v>
      </c>
      <c r="S1" s="10" t="s">
        <v>53</v>
      </c>
      <c r="T1" s="10" t="s">
        <v>54</v>
      </c>
      <c r="U1" s="10" t="s">
        <v>55</v>
      </c>
      <c r="V1" s="10" t="s">
        <v>56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57</v>
      </c>
      <c r="AE1" s="10" t="s">
        <v>58</v>
      </c>
      <c r="AF1" s="10" t="s">
        <v>59</v>
      </c>
      <c r="AG1" s="10" t="s">
        <v>60</v>
      </c>
      <c r="AH1" s="10" t="s">
        <v>61</v>
      </c>
      <c r="AI1" s="10" t="s">
        <v>62</v>
      </c>
      <c r="AJ1" s="10" t="s">
        <v>31</v>
      </c>
      <c r="AK1" s="10" t="s">
        <v>63</v>
      </c>
      <c r="AL1" s="10" t="s">
        <v>64</v>
      </c>
    </row>
    <row r="2" spans="1:38" ht="15" x14ac:dyDescent="0.2">
      <c r="A2" s="11" t="s">
        <v>65</v>
      </c>
      <c r="B2" s="12">
        <v>33226</v>
      </c>
      <c r="C2" s="11" t="s">
        <v>37</v>
      </c>
      <c r="D2" s="11" t="s">
        <v>38</v>
      </c>
      <c r="E2" s="11" t="s">
        <v>43</v>
      </c>
      <c r="F2" s="13">
        <v>24252</v>
      </c>
      <c r="G2" s="13">
        <v>34148</v>
      </c>
      <c r="H2" s="13">
        <v>34942</v>
      </c>
      <c r="I2" s="11" t="s">
        <v>40</v>
      </c>
      <c r="J2" s="13">
        <v>46167</v>
      </c>
      <c r="K2" s="14" t="s">
        <v>38</v>
      </c>
      <c r="L2" s="14">
        <v>55.12</v>
      </c>
      <c r="M2" s="14">
        <v>321.27999999999997</v>
      </c>
      <c r="N2" s="14">
        <v>0</v>
      </c>
      <c r="O2" s="15" t="s">
        <v>38</v>
      </c>
      <c r="P2" s="14">
        <v>266.16000000000003</v>
      </c>
      <c r="Q2" s="14" t="s">
        <v>38</v>
      </c>
      <c r="R2" s="16" t="s">
        <v>38</v>
      </c>
      <c r="S2" s="11" t="s">
        <v>38</v>
      </c>
      <c r="T2" s="11" t="s">
        <v>38</v>
      </c>
      <c r="U2" s="11" t="s">
        <v>38</v>
      </c>
      <c r="V2" s="17" t="s">
        <v>38</v>
      </c>
      <c r="W2" s="11" t="s">
        <v>38</v>
      </c>
      <c r="X2" s="11" t="s">
        <v>41</v>
      </c>
      <c r="Y2" s="11" t="s">
        <v>38</v>
      </c>
      <c r="Z2" s="18" t="s">
        <v>38</v>
      </c>
      <c r="AA2" s="19" t="s">
        <v>66</v>
      </c>
      <c r="AB2" s="11" t="s">
        <v>38</v>
      </c>
      <c r="AC2" s="18" t="s">
        <v>38</v>
      </c>
      <c r="AD2" s="14" t="s">
        <v>38</v>
      </c>
      <c r="AE2" s="14" t="s">
        <v>38</v>
      </c>
      <c r="AF2" s="14" t="s">
        <v>38</v>
      </c>
      <c r="AG2" s="11" t="s">
        <v>42</v>
      </c>
      <c r="AH2" s="20" t="s">
        <v>38</v>
      </c>
      <c r="AI2" s="14">
        <v>133.08000000000001</v>
      </c>
      <c r="AJ2" s="11"/>
      <c r="AK2" s="21" t="s">
        <v>38</v>
      </c>
      <c r="AL2" s="3">
        <v>0</v>
      </c>
    </row>
    <row r="3" spans="1:38" ht="15" x14ac:dyDescent="0.2">
      <c r="A3" s="11" t="s">
        <v>65</v>
      </c>
      <c r="B3" s="12">
        <v>33256</v>
      </c>
      <c r="C3" s="11" t="s">
        <v>37</v>
      </c>
      <c r="D3" s="11" t="s">
        <v>38</v>
      </c>
      <c r="E3" s="11" t="s">
        <v>43</v>
      </c>
      <c r="F3" s="13">
        <v>26872</v>
      </c>
      <c r="G3" s="13">
        <v>33542</v>
      </c>
      <c r="H3" s="13">
        <v>35398</v>
      </c>
      <c r="I3" s="11" t="s">
        <v>40</v>
      </c>
      <c r="J3" s="13">
        <v>48787</v>
      </c>
      <c r="K3" s="14" t="s">
        <v>38</v>
      </c>
      <c r="L3" s="14">
        <v>157.04</v>
      </c>
      <c r="M3" s="14">
        <v>918.13</v>
      </c>
      <c r="N3" s="14">
        <v>0</v>
      </c>
      <c r="O3" s="15" t="s">
        <v>38</v>
      </c>
      <c r="P3" s="14">
        <v>761.09</v>
      </c>
      <c r="Q3" s="14" t="s">
        <v>38</v>
      </c>
      <c r="R3" s="16" t="s">
        <v>38</v>
      </c>
      <c r="S3" s="11" t="s">
        <v>38</v>
      </c>
      <c r="T3" s="11" t="s">
        <v>38</v>
      </c>
      <c r="U3" s="11" t="s">
        <v>38</v>
      </c>
      <c r="V3" s="17" t="s">
        <v>38</v>
      </c>
      <c r="W3" s="11" t="s">
        <v>38</v>
      </c>
      <c r="X3" s="11" t="s">
        <v>41</v>
      </c>
      <c r="Y3" s="11" t="s">
        <v>38</v>
      </c>
      <c r="Z3" s="18" t="s">
        <v>38</v>
      </c>
      <c r="AA3" s="19" t="s">
        <v>42</v>
      </c>
      <c r="AB3" s="11" t="s">
        <v>38</v>
      </c>
      <c r="AC3" s="18" t="s">
        <v>38</v>
      </c>
      <c r="AD3" s="14" t="s">
        <v>38</v>
      </c>
      <c r="AE3" s="14" t="s">
        <v>38</v>
      </c>
      <c r="AF3" s="14" t="s">
        <v>38</v>
      </c>
      <c r="AG3" s="11" t="s">
        <v>42</v>
      </c>
      <c r="AH3" s="20" t="s">
        <v>38</v>
      </c>
      <c r="AI3" s="14">
        <v>380.55</v>
      </c>
      <c r="AJ3" s="11"/>
      <c r="AK3" s="21" t="s">
        <v>38</v>
      </c>
      <c r="AL3" s="3">
        <v>0</v>
      </c>
    </row>
    <row r="4" spans="1:38" ht="15" x14ac:dyDescent="0.2">
      <c r="A4" s="11" t="s">
        <v>65</v>
      </c>
      <c r="B4" s="12">
        <v>33257</v>
      </c>
      <c r="C4" s="11" t="s">
        <v>37</v>
      </c>
      <c r="D4" s="11" t="s">
        <v>38</v>
      </c>
      <c r="E4" s="11" t="s">
        <v>39</v>
      </c>
      <c r="F4" s="13">
        <v>26080</v>
      </c>
      <c r="G4" s="13">
        <v>33210</v>
      </c>
      <c r="H4" s="13">
        <v>34942</v>
      </c>
      <c r="I4" s="11" t="s">
        <v>40</v>
      </c>
      <c r="J4" s="13">
        <v>47995</v>
      </c>
      <c r="K4" s="14" t="s">
        <v>38</v>
      </c>
      <c r="L4" s="14">
        <v>200.72</v>
      </c>
      <c r="M4" s="14">
        <v>939.32</v>
      </c>
      <c r="N4" s="14">
        <v>0</v>
      </c>
      <c r="O4" s="15" t="s">
        <v>38</v>
      </c>
      <c r="P4" s="14">
        <v>738.6</v>
      </c>
      <c r="Q4" s="14" t="s">
        <v>38</v>
      </c>
      <c r="R4" s="16" t="s">
        <v>38</v>
      </c>
      <c r="S4" s="11" t="s">
        <v>38</v>
      </c>
      <c r="T4" s="11" t="s">
        <v>38</v>
      </c>
      <c r="U4" s="11" t="s">
        <v>38</v>
      </c>
      <c r="V4" s="17" t="s">
        <v>38</v>
      </c>
      <c r="W4" s="11" t="s">
        <v>38</v>
      </c>
      <c r="X4" s="11" t="s">
        <v>41</v>
      </c>
      <c r="Y4" s="11" t="s">
        <v>38</v>
      </c>
      <c r="Z4" s="18" t="s">
        <v>38</v>
      </c>
      <c r="AA4" s="19" t="s">
        <v>42</v>
      </c>
      <c r="AB4" s="11" t="s">
        <v>38</v>
      </c>
      <c r="AC4" s="18" t="s">
        <v>38</v>
      </c>
      <c r="AD4" s="14" t="s">
        <v>38</v>
      </c>
      <c r="AE4" s="14" t="s">
        <v>38</v>
      </c>
      <c r="AF4" s="14" t="s">
        <v>38</v>
      </c>
      <c r="AG4" s="11" t="s">
        <v>42</v>
      </c>
      <c r="AH4" s="20" t="s">
        <v>38</v>
      </c>
      <c r="AI4" s="14">
        <v>369.3</v>
      </c>
      <c r="AJ4" s="11"/>
      <c r="AK4" s="21" t="s">
        <v>38</v>
      </c>
      <c r="AL4" s="3">
        <v>0</v>
      </c>
    </row>
  </sheetData>
  <conditionalFormatting sqref="B2:B4">
    <cfRule type="duplicateValues" dxfId="5" priority="4"/>
  </conditionalFormatting>
  <conditionalFormatting sqref="B3:B4">
    <cfRule type="duplicateValues" dxfId="4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7633-65EA-4444-A52A-055C01DB3DB0}">
  <dimension ref="A1:AK4"/>
  <sheetViews>
    <sheetView workbookViewId="0">
      <selection activeCell="A5" sqref="A5:XFD214"/>
    </sheetView>
  </sheetViews>
  <sheetFormatPr baseColWidth="10" defaultColWidth="8.83203125" defaultRowHeight="13" x14ac:dyDescent="0.15"/>
  <cols>
    <col min="1" max="1" width="18.5" style="3" customWidth="1"/>
    <col min="2" max="2" width="10.1640625" style="3" customWidth="1"/>
    <col min="3" max="3" width="8.83203125" style="3"/>
    <col min="4" max="4" width="11.5" style="3" bestFit="1" customWidth="1"/>
    <col min="5" max="5" width="13.1640625" style="3" customWidth="1"/>
    <col min="6" max="6" width="15.5" style="3" customWidth="1"/>
    <col min="7" max="7" width="11.5" style="3" customWidth="1"/>
    <col min="8" max="8" width="14.83203125" style="3" customWidth="1"/>
    <col min="9" max="9" width="19" style="3" customWidth="1"/>
    <col min="10" max="10" width="19.83203125" style="3" customWidth="1"/>
    <col min="11" max="11" width="18.1640625" style="3" customWidth="1"/>
    <col min="12" max="12" width="18.83203125" style="3" customWidth="1"/>
    <col min="13" max="13" width="18.5" style="3" customWidth="1"/>
    <col min="14" max="14" width="19" style="3" customWidth="1"/>
    <col min="15" max="15" width="36.83203125" style="3" customWidth="1"/>
    <col min="16" max="16" width="15.1640625" style="3" customWidth="1"/>
    <col min="17" max="17" width="14.1640625" style="3" customWidth="1"/>
    <col min="18" max="18" width="21.1640625" style="3" customWidth="1"/>
    <col min="19" max="19" width="42.83203125" style="3" customWidth="1"/>
    <col min="20" max="20" width="17.1640625" style="3" customWidth="1"/>
    <col min="21" max="22" width="18.5" style="3" customWidth="1"/>
    <col min="23" max="23" width="10.83203125" style="3" customWidth="1"/>
    <col min="24" max="24" width="17" style="3" customWidth="1"/>
    <col min="25" max="25" width="20.5" style="3" customWidth="1"/>
    <col min="26" max="26" width="27.5" style="3" customWidth="1"/>
    <col min="27" max="27" width="15" style="3" customWidth="1"/>
    <col min="28" max="28" width="15.5" style="3" customWidth="1"/>
    <col min="29" max="29" width="33" style="3" customWidth="1"/>
    <col min="30" max="30" width="40.1640625" style="3" customWidth="1"/>
    <col min="31" max="31" width="25.1640625" style="3" customWidth="1"/>
    <col min="32" max="32" width="17.5" style="3" customWidth="1"/>
    <col min="33" max="33" width="21.1640625" style="3" customWidth="1"/>
    <col min="34" max="34" width="27.83203125" style="3" customWidth="1"/>
    <col min="35" max="35" width="13.5" style="3" customWidth="1"/>
    <col min="36" max="16384" width="8.83203125" style="3"/>
  </cols>
  <sheetData>
    <row r="1" spans="1:37" ht="64" x14ac:dyDescent="0.2">
      <c r="A1" s="22" t="s">
        <v>1</v>
      </c>
      <c r="B1" s="22" t="s">
        <v>2</v>
      </c>
      <c r="C1" s="22" t="s">
        <v>4</v>
      </c>
      <c r="D1" s="23" t="s">
        <v>5</v>
      </c>
      <c r="E1" s="24" t="s">
        <v>67</v>
      </c>
      <c r="F1" s="22" t="s">
        <v>8</v>
      </c>
      <c r="G1" s="25" t="s">
        <v>68</v>
      </c>
      <c r="H1" s="23" t="s">
        <v>69</v>
      </c>
      <c r="I1" s="26" t="s">
        <v>70</v>
      </c>
      <c r="J1" s="26" t="s">
        <v>71</v>
      </c>
      <c r="K1" s="26" t="s">
        <v>72</v>
      </c>
      <c r="L1" s="26" t="s">
        <v>73</v>
      </c>
      <c r="M1" s="26" t="s">
        <v>74</v>
      </c>
      <c r="N1" s="26" t="s">
        <v>75</v>
      </c>
      <c r="O1" s="26" t="s">
        <v>76</v>
      </c>
      <c r="P1" s="26" t="s">
        <v>77</v>
      </c>
      <c r="Q1" s="23" t="s">
        <v>78</v>
      </c>
      <c r="R1" s="26" t="s">
        <v>79</v>
      </c>
      <c r="S1" s="26" t="s">
        <v>80</v>
      </c>
      <c r="T1" s="27" t="s">
        <v>81</v>
      </c>
      <c r="U1" s="25" t="s">
        <v>82</v>
      </c>
      <c r="V1" s="28" t="s">
        <v>22</v>
      </c>
      <c r="W1" s="28" t="s">
        <v>24</v>
      </c>
      <c r="X1" s="28" t="s">
        <v>25</v>
      </c>
      <c r="Y1" s="26" t="s">
        <v>83</v>
      </c>
      <c r="Z1" s="22" t="s">
        <v>84</v>
      </c>
      <c r="AA1" s="22" t="s">
        <v>85</v>
      </c>
      <c r="AB1" s="22" t="s">
        <v>86</v>
      </c>
      <c r="AC1" s="26" t="s">
        <v>87</v>
      </c>
      <c r="AD1" s="26" t="s">
        <v>88</v>
      </c>
      <c r="AE1" s="26" t="s">
        <v>89</v>
      </c>
      <c r="AF1" s="29" t="s">
        <v>90</v>
      </c>
      <c r="AG1" s="26" t="s">
        <v>91</v>
      </c>
      <c r="AH1" s="26" t="s">
        <v>92</v>
      </c>
      <c r="AI1" s="28" t="s">
        <v>31</v>
      </c>
      <c r="AJ1" s="28" t="s">
        <v>93</v>
      </c>
      <c r="AK1" s="28" t="s">
        <v>94</v>
      </c>
    </row>
    <row r="2" spans="1:37" ht="16" x14ac:dyDescent="0.2">
      <c r="A2" s="30">
        <v>33297</v>
      </c>
      <c r="B2" s="31" t="s">
        <v>37</v>
      </c>
      <c r="C2" s="31" t="s">
        <v>43</v>
      </c>
      <c r="D2" s="32">
        <v>22707</v>
      </c>
      <c r="E2" s="32">
        <v>44622</v>
      </c>
      <c r="F2" s="31" t="s">
        <v>65</v>
      </c>
      <c r="G2" s="31" t="s">
        <v>95</v>
      </c>
      <c r="H2" s="32">
        <v>33676</v>
      </c>
      <c r="I2" s="33">
        <v>421.2</v>
      </c>
      <c r="J2" s="33">
        <v>184.08</v>
      </c>
      <c r="K2" s="33">
        <v>3430.32</v>
      </c>
      <c r="L2" s="34">
        <v>1499.28</v>
      </c>
      <c r="M2" s="35" t="s">
        <v>38</v>
      </c>
      <c r="N2" s="33">
        <v>7882.44</v>
      </c>
      <c r="O2" s="34" t="s">
        <v>38</v>
      </c>
      <c r="P2" s="35" t="s">
        <v>38</v>
      </c>
      <c r="Q2" s="32" t="s">
        <v>38</v>
      </c>
      <c r="R2" s="33">
        <v>749.64</v>
      </c>
      <c r="S2" s="34" t="s">
        <v>38</v>
      </c>
      <c r="T2" s="31" t="s">
        <v>38</v>
      </c>
      <c r="U2" s="31" t="s">
        <v>38</v>
      </c>
      <c r="V2" s="36" t="s">
        <v>38</v>
      </c>
      <c r="W2" s="36" t="s">
        <v>66</v>
      </c>
      <c r="X2" s="37" t="s">
        <v>38</v>
      </c>
      <c r="Y2" s="34" t="s">
        <v>38</v>
      </c>
      <c r="Z2" s="34" t="s">
        <v>38</v>
      </c>
      <c r="AA2" s="34" t="s">
        <v>38</v>
      </c>
      <c r="AB2" s="37" t="s">
        <v>38</v>
      </c>
      <c r="AC2" s="33">
        <v>2952.84</v>
      </c>
      <c r="AD2" s="33">
        <v>0</v>
      </c>
      <c r="AE2" s="33">
        <v>10167.17</v>
      </c>
      <c r="AF2" s="33">
        <v>52549.42</v>
      </c>
      <c r="AG2" s="33">
        <v>2284.73</v>
      </c>
      <c r="AH2" s="33">
        <v>7882.44</v>
      </c>
      <c r="AI2" s="31"/>
      <c r="AJ2" s="38" t="s">
        <v>95</v>
      </c>
      <c r="AK2" s="39" t="s">
        <v>42</v>
      </c>
    </row>
    <row r="3" spans="1:37" ht="16" x14ac:dyDescent="0.2">
      <c r="A3" s="30">
        <v>33381</v>
      </c>
      <c r="B3" s="31" t="s">
        <v>37</v>
      </c>
      <c r="C3" s="31" t="s">
        <v>43</v>
      </c>
      <c r="D3" s="32">
        <v>22721</v>
      </c>
      <c r="E3" s="32">
        <v>44636</v>
      </c>
      <c r="F3" s="31" t="s">
        <v>65</v>
      </c>
      <c r="G3" s="31" t="s">
        <v>95</v>
      </c>
      <c r="H3" s="32">
        <v>31216</v>
      </c>
      <c r="I3" s="33">
        <v>174.72</v>
      </c>
      <c r="J3" s="33">
        <v>0</v>
      </c>
      <c r="K3" s="33">
        <v>3036.8</v>
      </c>
      <c r="L3" s="34" t="s">
        <v>38</v>
      </c>
      <c r="M3" s="35" t="s">
        <v>38</v>
      </c>
      <c r="N3" s="33">
        <v>3036.8</v>
      </c>
      <c r="O3" s="34" t="s">
        <v>38</v>
      </c>
      <c r="P3" s="35" t="s">
        <v>38</v>
      </c>
      <c r="Q3" s="32" t="s">
        <v>38</v>
      </c>
      <c r="R3" s="33" t="s">
        <v>38</v>
      </c>
      <c r="S3" s="34" t="s">
        <v>38</v>
      </c>
      <c r="T3" s="31" t="s">
        <v>38</v>
      </c>
      <c r="U3" s="31" t="s">
        <v>38</v>
      </c>
      <c r="V3" s="36" t="s">
        <v>38</v>
      </c>
      <c r="W3" s="36" t="s">
        <v>38</v>
      </c>
      <c r="X3" s="37" t="s">
        <v>38</v>
      </c>
      <c r="Y3" s="34" t="s">
        <v>38</v>
      </c>
      <c r="Z3" s="34" t="s">
        <v>38</v>
      </c>
      <c r="AA3" s="34" t="s">
        <v>38</v>
      </c>
      <c r="AB3" s="37" t="s">
        <v>38</v>
      </c>
      <c r="AC3" s="33">
        <v>0</v>
      </c>
      <c r="AD3" s="33">
        <v>0</v>
      </c>
      <c r="AE3" s="33">
        <v>3036.8</v>
      </c>
      <c r="AF3" s="33">
        <v>0</v>
      </c>
      <c r="AG3" s="33">
        <v>0</v>
      </c>
      <c r="AH3" s="33">
        <v>3036.8</v>
      </c>
      <c r="AI3" s="31"/>
      <c r="AJ3" s="38" t="s">
        <v>95</v>
      </c>
      <c r="AK3" s="39" t="s">
        <v>42</v>
      </c>
    </row>
    <row r="4" spans="1:37" ht="16" x14ac:dyDescent="0.2">
      <c r="A4" s="30">
        <v>33546</v>
      </c>
      <c r="B4" s="31" t="s">
        <v>37</v>
      </c>
      <c r="C4" s="31" t="s">
        <v>43</v>
      </c>
      <c r="D4" s="32">
        <v>22636</v>
      </c>
      <c r="E4" s="32">
        <v>44551</v>
      </c>
      <c r="F4" s="31" t="s">
        <v>65</v>
      </c>
      <c r="G4" s="31" t="s">
        <v>95</v>
      </c>
      <c r="H4" s="32">
        <v>31216</v>
      </c>
      <c r="I4" s="33">
        <v>131.56</v>
      </c>
      <c r="J4" s="33">
        <v>0</v>
      </c>
      <c r="K4" s="33">
        <v>2286.48</v>
      </c>
      <c r="L4" s="34" t="s">
        <v>38</v>
      </c>
      <c r="M4" s="35" t="s">
        <v>38</v>
      </c>
      <c r="N4" s="33">
        <v>2286.48</v>
      </c>
      <c r="O4" s="34" t="s">
        <v>38</v>
      </c>
      <c r="P4" s="35" t="s">
        <v>38</v>
      </c>
      <c r="Q4" s="32">
        <v>21736</v>
      </c>
      <c r="R4" s="33">
        <v>0</v>
      </c>
      <c r="S4" s="34" t="s">
        <v>38</v>
      </c>
      <c r="T4" s="31" t="s">
        <v>38</v>
      </c>
      <c r="U4" s="31" t="s">
        <v>38</v>
      </c>
      <c r="V4" s="36" t="s">
        <v>38</v>
      </c>
      <c r="W4" s="36" t="s">
        <v>66</v>
      </c>
      <c r="X4" s="37" t="s">
        <v>38</v>
      </c>
      <c r="Y4" s="34" t="s">
        <v>38</v>
      </c>
      <c r="Z4" s="34" t="s">
        <v>38</v>
      </c>
      <c r="AA4" s="34" t="s">
        <v>38</v>
      </c>
      <c r="AB4" s="37" t="s">
        <v>38</v>
      </c>
      <c r="AC4" s="33">
        <v>0</v>
      </c>
      <c r="AD4" s="33">
        <v>0</v>
      </c>
      <c r="AE4" s="33">
        <v>2286.48</v>
      </c>
      <c r="AF4" s="33" t="s">
        <v>38</v>
      </c>
      <c r="AG4" s="33" t="s">
        <v>38</v>
      </c>
      <c r="AH4" s="33" t="s">
        <v>38</v>
      </c>
      <c r="AI4" s="31"/>
      <c r="AJ4" s="38" t="s">
        <v>95</v>
      </c>
      <c r="AK4" s="39" t="s">
        <v>42</v>
      </c>
    </row>
  </sheetData>
  <conditionalFormatting sqref="A1">
    <cfRule type="duplicateValues" dxfId="3" priority="3"/>
  </conditionalFormatting>
  <conditionalFormatting sqref="A2:A4">
    <cfRule type="duplicateValues" dxfId="2" priority="6"/>
  </conditionalFormatting>
  <conditionalFormatting sqref="A3:A4">
    <cfRule type="duplicateValues" dxfId="1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11E9-84FA-48C0-B2E5-8C954A6F455F}">
  <dimension ref="A1:V4"/>
  <sheetViews>
    <sheetView workbookViewId="0">
      <selection activeCell="A5" sqref="A5:XFD24"/>
    </sheetView>
  </sheetViews>
  <sheetFormatPr baseColWidth="10" defaultColWidth="8.83203125" defaultRowHeight="13" x14ac:dyDescent="0.15"/>
  <cols>
    <col min="1" max="1" width="16.83203125" style="3" customWidth="1"/>
    <col min="2" max="2" width="17.1640625" style="3" customWidth="1"/>
    <col min="3" max="3" width="19.83203125" style="3" customWidth="1"/>
    <col min="4" max="4" width="15.5" style="3" customWidth="1"/>
    <col min="5" max="6" width="18.5" style="3" customWidth="1"/>
    <col min="7" max="7" width="21.5" style="3" customWidth="1"/>
    <col min="8" max="8" width="15.83203125" style="3" customWidth="1"/>
    <col min="9" max="9" width="24" style="3" customWidth="1"/>
    <col min="10" max="10" width="24.1640625" style="3" customWidth="1"/>
    <col min="11" max="11" width="22.83203125" style="3" customWidth="1"/>
    <col min="12" max="12" width="22" style="3" customWidth="1"/>
    <col min="13" max="13" width="23.83203125" style="3" customWidth="1"/>
    <col min="14" max="14" width="20.1640625" style="3" customWidth="1"/>
    <col min="15" max="15" width="20.83203125" style="3" customWidth="1"/>
    <col min="16" max="16" width="20.5" style="3" customWidth="1"/>
    <col min="17" max="17" width="17.5" style="3" customWidth="1"/>
    <col min="18" max="18" width="16.5" style="3" customWidth="1"/>
    <col min="19" max="19" width="26" style="3" customWidth="1"/>
    <col min="20" max="20" width="8.83203125" style="3" bestFit="1" customWidth="1"/>
    <col min="21" max="21" width="27.83203125" style="3" customWidth="1"/>
    <col min="22" max="22" width="9.5" style="3" bestFit="1" customWidth="1"/>
    <col min="23" max="16384" width="8.83203125" style="3"/>
  </cols>
  <sheetData>
    <row r="1" spans="1:22" ht="64" x14ac:dyDescent="0.2">
      <c r="A1" s="40" t="s">
        <v>0</v>
      </c>
      <c r="B1" s="40" t="s">
        <v>96</v>
      </c>
      <c r="C1" s="40" t="s">
        <v>97</v>
      </c>
      <c r="D1" s="40" t="s">
        <v>98</v>
      </c>
      <c r="E1" s="40" t="s">
        <v>99</v>
      </c>
      <c r="F1" s="40" t="s">
        <v>100</v>
      </c>
      <c r="G1" s="40" t="s">
        <v>101</v>
      </c>
      <c r="H1" s="40" t="s">
        <v>102</v>
      </c>
      <c r="I1" s="40" t="s">
        <v>103</v>
      </c>
      <c r="J1" s="40" t="s">
        <v>104</v>
      </c>
      <c r="K1" s="40" t="s">
        <v>105</v>
      </c>
      <c r="L1" s="40" t="s">
        <v>106</v>
      </c>
      <c r="M1" s="40" t="s">
        <v>107</v>
      </c>
      <c r="N1" s="40" t="s">
        <v>108</v>
      </c>
      <c r="O1" s="40" t="s">
        <v>109</v>
      </c>
      <c r="P1" s="40" t="s">
        <v>110</v>
      </c>
      <c r="Q1" s="40" t="s">
        <v>22</v>
      </c>
      <c r="R1" s="40" t="s">
        <v>25</v>
      </c>
      <c r="S1" s="40" t="s">
        <v>111</v>
      </c>
      <c r="T1" s="40" t="s">
        <v>94</v>
      </c>
      <c r="U1" s="40" t="s">
        <v>112</v>
      </c>
      <c r="V1" s="40" t="s">
        <v>31</v>
      </c>
    </row>
    <row r="2" spans="1:22" ht="15" x14ac:dyDescent="0.2">
      <c r="A2" s="41" t="s">
        <v>113</v>
      </c>
      <c r="B2" s="42">
        <v>70642</v>
      </c>
      <c r="C2" s="42">
        <v>70642</v>
      </c>
      <c r="D2" s="43">
        <v>1</v>
      </c>
      <c r="E2" s="44">
        <v>23515</v>
      </c>
      <c r="F2" s="44">
        <v>44409</v>
      </c>
      <c r="G2" s="43" t="s">
        <v>95</v>
      </c>
      <c r="H2" s="44">
        <v>44321</v>
      </c>
      <c r="I2" s="45" t="s">
        <v>38</v>
      </c>
      <c r="J2" s="42">
        <v>828.72</v>
      </c>
      <c r="K2" s="42">
        <v>3557.04</v>
      </c>
      <c r="L2" s="43" t="s">
        <v>38</v>
      </c>
      <c r="M2" s="42">
        <v>66.239999999999995</v>
      </c>
      <c r="N2" s="45" t="s">
        <v>38</v>
      </c>
      <c r="O2" s="43" t="s">
        <v>38</v>
      </c>
      <c r="P2" s="43" t="s">
        <v>38</v>
      </c>
      <c r="Q2" s="43" t="s">
        <v>38</v>
      </c>
      <c r="R2" s="45" t="s">
        <v>38</v>
      </c>
      <c r="S2" s="45" t="s">
        <v>38</v>
      </c>
      <c r="T2" s="43" t="s">
        <v>38</v>
      </c>
      <c r="U2" s="42">
        <v>2662.08</v>
      </c>
      <c r="V2" s="42"/>
    </row>
    <row r="3" spans="1:22" ht="15" x14ac:dyDescent="0.2">
      <c r="A3" s="41" t="s">
        <v>113</v>
      </c>
      <c r="B3" s="42">
        <v>70655</v>
      </c>
      <c r="C3" s="42">
        <v>70655</v>
      </c>
      <c r="D3" s="43">
        <v>2</v>
      </c>
      <c r="E3" s="44">
        <v>24119</v>
      </c>
      <c r="F3" s="44">
        <v>44531</v>
      </c>
      <c r="G3" s="43" t="s">
        <v>95</v>
      </c>
      <c r="H3" s="44">
        <v>44417</v>
      </c>
      <c r="I3" s="45" t="s">
        <v>38</v>
      </c>
      <c r="J3" s="42">
        <v>63.84</v>
      </c>
      <c r="K3" s="42">
        <v>1294.44</v>
      </c>
      <c r="L3" s="43" t="s">
        <v>38</v>
      </c>
      <c r="M3" s="42">
        <v>993.84</v>
      </c>
      <c r="N3" s="45" t="s">
        <v>38</v>
      </c>
      <c r="O3" s="43" t="s">
        <v>38</v>
      </c>
      <c r="P3" s="43" t="s">
        <v>38</v>
      </c>
      <c r="Q3" s="43" t="s">
        <v>38</v>
      </c>
      <c r="R3" s="45" t="s">
        <v>38</v>
      </c>
      <c r="S3" s="45" t="s">
        <v>38</v>
      </c>
      <c r="T3" s="43" t="s">
        <v>38</v>
      </c>
      <c r="U3" s="42">
        <v>236.76</v>
      </c>
      <c r="V3" s="42"/>
    </row>
    <row r="4" spans="1:22" ht="15" x14ac:dyDescent="0.2">
      <c r="A4" s="41" t="s">
        <v>113</v>
      </c>
      <c r="B4" s="42">
        <v>70656</v>
      </c>
      <c r="C4" s="42">
        <v>70656</v>
      </c>
      <c r="D4" s="43">
        <v>1</v>
      </c>
      <c r="E4" s="44">
        <v>18731</v>
      </c>
      <c r="F4" s="44">
        <v>44621</v>
      </c>
      <c r="G4" s="43" t="s">
        <v>95</v>
      </c>
      <c r="H4" s="44">
        <v>36160</v>
      </c>
      <c r="I4" s="45">
        <v>1412.64</v>
      </c>
      <c r="J4" s="42">
        <v>1096.08</v>
      </c>
      <c r="K4" s="42">
        <v>11601.48</v>
      </c>
      <c r="L4" s="43" t="s">
        <v>38</v>
      </c>
      <c r="M4" s="42">
        <v>1692.72</v>
      </c>
      <c r="N4" s="45" t="s">
        <v>38</v>
      </c>
      <c r="O4" s="43" t="s">
        <v>38</v>
      </c>
      <c r="P4" s="43" t="s">
        <v>38</v>
      </c>
      <c r="Q4" s="43" t="s">
        <v>38</v>
      </c>
      <c r="R4" s="45" t="s">
        <v>38</v>
      </c>
      <c r="S4" s="45" t="s">
        <v>38</v>
      </c>
      <c r="T4" s="43" t="s">
        <v>38</v>
      </c>
      <c r="U4" s="42">
        <v>7400.04</v>
      </c>
      <c r="V4" s="42"/>
    </row>
  </sheetData>
  <conditionalFormatting sqref="B2:B4">
    <cfRule type="duplicateValues" dxfId="0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7D83-6529-46F9-86EC-00438925D859}">
  <dimension ref="A1:N3"/>
  <sheetViews>
    <sheetView tabSelected="1" workbookViewId="0">
      <selection activeCell="H35" sqref="H35"/>
    </sheetView>
  </sheetViews>
  <sheetFormatPr baseColWidth="10" defaultColWidth="8.83203125" defaultRowHeight="13" x14ac:dyDescent="0.15"/>
  <cols>
    <col min="1" max="1" width="14.83203125" style="3" customWidth="1"/>
    <col min="2" max="2" width="13.1640625" style="3" customWidth="1"/>
    <col min="3" max="3" width="18.5" style="3" customWidth="1"/>
    <col min="4" max="4" width="17.1640625" style="3" customWidth="1"/>
    <col min="5" max="5" width="15.83203125" style="3" customWidth="1"/>
    <col min="6" max="6" width="21.83203125" style="3" customWidth="1"/>
    <col min="7" max="7" width="28" style="3" customWidth="1"/>
    <col min="8" max="8" width="42.1640625" style="3" customWidth="1"/>
    <col min="9" max="9" width="21.5" style="3" customWidth="1"/>
    <col min="10" max="10" width="20.83203125" style="3" customWidth="1"/>
    <col min="11" max="11" width="17.83203125" style="3" customWidth="1"/>
    <col min="12" max="12" width="8.83203125" style="3"/>
    <col min="13" max="13" width="30.83203125" style="3" customWidth="1"/>
    <col min="14" max="14" width="31.5" style="3" customWidth="1"/>
    <col min="15" max="16384" width="8.83203125" style="3"/>
  </cols>
  <sheetData>
    <row r="1" spans="1:14" ht="48" x14ac:dyDescent="0.2">
      <c r="A1" s="40" t="s">
        <v>0</v>
      </c>
      <c r="B1" s="40" t="s">
        <v>114</v>
      </c>
      <c r="C1" s="40" t="s">
        <v>115</v>
      </c>
      <c r="D1" s="46" t="s">
        <v>116</v>
      </c>
      <c r="E1" s="46" t="s">
        <v>117</v>
      </c>
      <c r="F1" s="40" t="s">
        <v>101</v>
      </c>
      <c r="G1" s="47" t="s">
        <v>118</v>
      </c>
      <c r="H1" s="47" t="s">
        <v>119</v>
      </c>
      <c r="I1" s="40" t="s">
        <v>120</v>
      </c>
      <c r="J1" s="40" t="s">
        <v>22</v>
      </c>
      <c r="K1" s="40" t="s">
        <v>25</v>
      </c>
      <c r="L1" s="47" t="s">
        <v>94</v>
      </c>
      <c r="M1" s="47" t="s">
        <v>121</v>
      </c>
      <c r="N1" s="47" t="s">
        <v>122</v>
      </c>
    </row>
    <row r="2" spans="1:14" ht="15" x14ac:dyDescent="0.2">
      <c r="A2" s="43" t="s">
        <v>123</v>
      </c>
      <c r="B2" s="42">
        <v>70643</v>
      </c>
      <c r="C2" s="42">
        <v>37387</v>
      </c>
      <c r="D2" s="44">
        <v>38812</v>
      </c>
      <c r="E2" s="44">
        <v>44409</v>
      </c>
      <c r="F2" s="43" t="s">
        <v>124</v>
      </c>
      <c r="G2" s="48">
        <v>1182.72</v>
      </c>
      <c r="H2" s="48">
        <v>22.2</v>
      </c>
      <c r="I2" s="44" t="s">
        <v>38</v>
      </c>
      <c r="J2" s="43" t="s">
        <v>125</v>
      </c>
      <c r="K2" s="43" t="s">
        <v>38</v>
      </c>
      <c r="L2" s="43" t="s">
        <v>42</v>
      </c>
      <c r="M2" s="49">
        <v>0</v>
      </c>
      <c r="N2" s="48">
        <v>1160.52</v>
      </c>
    </row>
    <row r="3" spans="1:14" ht="15" x14ac:dyDescent="0.2">
      <c r="A3" s="43" t="s">
        <v>123</v>
      </c>
      <c r="B3" s="42">
        <v>70674</v>
      </c>
      <c r="C3" s="42">
        <v>41653</v>
      </c>
      <c r="D3" s="44">
        <v>40437</v>
      </c>
      <c r="E3" s="44">
        <v>44774</v>
      </c>
      <c r="F3" s="43" t="s">
        <v>65</v>
      </c>
      <c r="G3" s="48">
        <v>596.16</v>
      </c>
      <c r="H3" s="48">
        <v>596.16</v>
      </c>
      <c r="I3" s="44" t="s">
        <v>38</v>
      </c>
      <c r="J3" s="43" t="s">
        <v>125</v>
      </c>
      <c r="K3" s="43" t="s">
        <v>38</v>
      </c>
      <c r="L3" s="43" t="s">
        <v>42</v>
      </c>
      <c r="M3" s="49">
        <v>0</v>
      </c>
      <c r="N3" s="4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 deferreds</vt:lpstr>
      <vt:lpstr>Deferreds</vt:lpstr>
      <vt:lpstr>Pensioners</vt:lpstr>
      <vt:lpstr>Widows</vt:lpstr>
      <vt:lpstr>Children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Elliott</dc:creator>
  <cp:lastModifiedBy>Josh Farmer</cp:lastModifiedBy>
  <cp:lastPrinted>2025-07-23T15:23:06Z</cp:lastPrinted>
  <dcterms:created xsi:type="dcterms:W3CDTF">2025-07-18T14:23:13Z</dcterms:created>
  <dcterms:modified xsi:type="dcterms:W3CDTF">2025-09-28T15:24:58Z</dcterms:modified>
</cp:coreProperties>
</file>